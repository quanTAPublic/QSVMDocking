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rdonbroderick1/Documents/Gordon/VIDO_Wilson_Lab_SLA/Pranta_SLM/"/>
    </mc:Choice>
  </mc:AlternateContent>
  <xr:revisionPtr revIDLastSave="0" documentId="13_ncr:1_{6FF2093D-E84C-8344-B1B2-B4BE3C5CC8F8}" xr6:coauthVersionLast="47" xr6:coauthVersionMax="47" xr10:uidLastSave="{00000000-0000-0000-0000-000000000000}"/>
  <bookViews>
    <workbookView xWindow="4880" yWindow="5640" windowWidth="24600" windowHeight="14060" xr2:uid="{14D001A6-58B6-BD45-905C-D48AE0534719}"/>
  </bookViews>
  <sheets>
    <sheet name="Results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2" i="1"/>
  <c r="E83" i="1" l="1"/>
</calcChain>
</file>

<file path=xl/sharedStrings.xml><?xml version="1.0" encoding="utf-8"?>
<sst xmlns="http://schemas.openxmlformats.org/spreadsheetml/2006/main" count="88" uniqueCount="88">
  <si>
    <t xml:space="preserve">Binding Energy </t>
  </si>
  <si>
    <t>Index</t>
  </si>
  <si>
    <t>Sequence Epitope)</t>
  </si>
  <si>
    <t>RVPILRTVF</t>
  </si>
  <si>
    <t>VPILRTVFG</t>
  </si>
  <si>
    <t>RTVFGFRWL</t>
  </si>
  <si>
    <t>PTPPQRQAL</t>
  </si>
  <si>
    <t>LLSSKTSVA</t>
  </si>
  <si>
    <t>SSKTSVALG</t>
  </si>
  <si>
    <t>VALGIATRP</t>
  </si>
  <si>
    <t>ATRPLRRFA</t>
  </si>
  <si>
    <t>RFAKSLSAV</t>
  </si>
  <si>
    <t>SVRVFQTLR</t>
  </si>
  <si>
    <t>PTPPAQQVP</t>
  </si>
  <si>
    <t>PPAQQVPLS</t>
  </si>
  <si>
    <t>SSKTSAVLG</t>
  </si>
  <si>
    <t>PTQHTVRLI</t>
  </si>
  <si>
    <t>RFAKSLNAA</t>
  </si>
  <si>
    <t>GTPVYVTIT</t>
  </si>
  <si>
    <t>MSEKGFKVV</t>
  </si>
  <si>
    <t>EKGFKVVFG</t>
  </si>
  <si>
    <t>VFGNVSGIV</t>
  </si>
  <si>
    <t>VVDHVRLLH</t>
  </si>
  <si>
    <t>VDHVRLLHF</t>
  </si>
  <si>
    <t>HVRLLHFMT</t>
  </si>
  <si>
    <t>HFMTPETMR</t>
  </si>
  <si>
    <t>MTPETMRWA</t>
  </si>
  <si>
    <t>TMRWATVLA</t>
  </si>
  <si>
    <t>LIDLKRVVL</t>
  </si>
  <si>
    <t>IDLKRVVLD</t>
  </si>
  <si>
    <t>AATPVTKIS</t>
  </si>
  <si>
    <t>TKISAEQWG</t>
  </si>
  <si>
    <t>VEVEGHLID</t>
  </si>
  <si>
    <t>VATPITRVS</t>
  </si>
  <si>
    <t>TRVSAEQWG</t>
  </si>
  <si>
    <t>NDNHAFVVR</t>
  </si>
  <si>
    <t>LVPGLKSLV</t>
  </si>
  <si>
    <t>PGLKSLVLG</t>
  </si>
  <si>
    <t>VKQGVVNLV</t>
  </si>
  <si>
    <t>RRPGSTTVN</t>
  </si>
  <si>
    <t>LVPGFKSLV</t>
  </si>
  <si>
    <t>PGFKSLVLG</t>
  </si>
  <si>
    <t>VKRGVVNLV</t>
  </si>
  <si>
    <t>GVVNLVKYA</t>
  </si>
  <si>
    <t>EFSLPTHHT</t>
  </si>
  <si>
    <t>SLPTHHTVR</t>
  </si>
  <si>
    <t>LPTHHTVRL</t>
  </si>
  <si>
    <t>PTHHTVRLI</t>
  </si>
  <si>
    <t>EFSLPTQHT</t>
  </si>
  <si>
    <t>SLPTQHTVR</t>
  </si>
  <si>
    <t>ESPTMPNYH</t>
  </si>
  <si>
    <t>TDPKKTAIT</t>
  </si>
  <si>
    <t>AITDSPSFL</t>
  </si>
  <si>
    <t>ASNVSEYYA</t>
  </si>
  <si>
    <t>SFPGTPFFM</t>
  </si>
  <si>
    <t>QHCPVTIWC</t>
  </si>
  <si>
    <t>PYKPPRTVI</t>
  </si>
  <si>
    <t>RYQTRRGLV</t>
  </si>
  <si>
    <t>SNVLRSRFI</t>
  </si>
  <si>
    <t>VQDGDVIYT</t>
  </si>
  <si>
    <t>YTPTHQTML</t>
  </si>
  <si>
    <t>IEAETCKYL</t>
  </si>
  <si>
    <t>EAETCKYLA</t>
  </si>
  <si>
    <t>RLPMLHNLR</t>
  </si>
  <si>
    <t>HFESTNRVA</t>
  </si>
  <si>
    <t>ESTNRVALT</t>
  </si>
  <si>
    <t>TNRVALTMG</t>
  </si>
  <si>
    <t>GRLLGLLHL</t>
  </si>
  <si>
    <t>RLLGLLHLL</t>
  </si>
  <si>
    <t>LLGLLHLLI</t>
  </si>
  <si>
    <t>FLNCAFTFG</t>
  </si>
  <si>
    <t>FTFGYMTFV</t>
  </si>
  <si>
    <t>HFQSTNKVA</t>
  </si>
  <si>
    <t>QSTNKVALT</t>
  </si>
  <si>
    <t>TNKVALTMG</t>
  </si>
  <si>
    <t>TMGAVVALL</t>
  </si>
  <si>
    <t>GAVVALLWG</t>
  </si>
  <si>
    <t>KNPEKPHFP</t>
  </si>
  <si>
    <t>PEKPHFPLA</t>
  </si>
  <si>
    <t>EDDVRHHFT</t>
  </si>
  <si>
    <t>KNPGKPHFP</t>
  </si>
  <si>
    <t>PGKPHFPLA</t>
  </si>
  <si>
    <t>EDDVRHPFT</t>
  </si>
  <si>
    <t>Min</t>
  </si>
  <si>
    <t>Abs dist to threshold</t>
  </si>
  <si>
    <t>MGPGALFLLLSGTLALTGTQAGPHSLSYFYTAVSRPDRGDSRFIAVGYVDDTQFVRFDNYAPNPRMEPRVPWIQQEGQEYWDRETRNVKETAQTYGVGLNTLRGYYNQSEAGSHTLQSMYGCYLGPDGLLLHGYRQDAYDGADYIALNEDLRSWTAADMAAQITKRKWEAADEAERRRSYLQGLCVESLRRYLEMGKDTLQRAEPPKTHVTRHPSSDLGVTLRCWALGFYPKEISLTWQREGQDQSQDMELVETRPSGDGTFQKWAALVVPPGEEQSYTCHVQHEGLQEPLTLRWDPAQPPVPIVGIIVGLVLVLVAGAMVAGVVIWRKTRSGEKGGSYTQAAGSDSDQGSDVSLTKDPRV</t>
  </si>
  <si>
    <t>Receptor_Sequnce for SLA-1 0401</t>
  </si>
  <si>
    <t>Otsu Class theshold -77.8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</si>
</sst>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sz val="8"/>
      <color rgb="FF373A36"/>
      <name val="Courier New"/>
      <family val="3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C841-C96C-394D-82E1-CDBA85D0E510}">
  <sheetPr>
    <outlinePr summaryBelow="0" summaryRight="0"/>
  </sheetPr>
  <dimension ref="A1:H83"/>
  <sheetViews>
    <sheetView tabSelected="1" zoomScale="110" zoomScaleNormal="110" workbookViewId="0">
      <selection activeCell="D14" sqref="D14"/>
    </sheetView>
  </sheetViews>
  <sheetFormatPr baseColWidth="10" defaultRowHeight="13" x14ac:dyDescent="0.15"/>
  <cols>
    <col min="1" max="1" width="11" customWidth="1"/>
    <col min="2" max="2" width="25" customWidth="1"/>
    <col min="3" max="3" width="13.5" style="1" bestFit="1" customWidth="1"/>
    <col min="4" max="4" width="22.5" bestFit="1" customWidth="1"/>
    <col min="5" max="5" width="17.1640625" bestFit="1" customWidth="1"/>
    <col min="6" max="251" width="8.83203125" customWidth="1"/>
  </cols>
  <sheetData>
    <row r="1" spans="1:8" x14ac:dyDescent="0.15">
      <c r="A1" s="2" t="s">
        <v>1</v>
      </c>
      <c r="B1" s="2" t="s">
        <v>2</v>
      </c>
      <c r="C1" s="1" t="s">
        <v>0</v>
      </c>
      <c r="D1" s="6" t="s">
        <v>87</v>
      </c>
      <c r="E1" s="2" t="s">
        <v>84</v>
      </c>
      <c r="H1" s="2" t="s">
        <v>86</v>
      </c>
    </row>
    <row r="2" spans="1:8" x14ac:dyDescent="0.15">
      <c r="A2">
        <v>1</v>
      </c>
      <c r="B2" s="2" t="s">
        <v>3</v>
      </c>
      <c r="C2" s="1">
        <v>-92.5</v>
      </c>
      <c r="D2" t="str">
        <f>IF(C2&lt;=-77.8,"Strong","Weak")</f>
        <v>Strong</v>
      </c>
      <c r="E2">
        <f>ABS(C2+77.8)</f>
        <v>14.700000000000003</v>
      </c>
      <c r="H2" s="5" t="s">
        <v>85</v>
      </c>
    </row>
    <row r="3" spans="1:8" x14ac:dyDescent="0.15">
      <c r="A3">
        <v>2</v>
      </c>
      <c r="B3" t="s">
        <v>4</v>
      </c>
      <c r="C3" s="1">
        <v>-77.099999999999994</v>
      </c>
      <c r="D3" t="str">
        <f t="shared" ref="D3:D66" si="0">IF(C3&lt;=-77.8,"Strong","Weak")</f>
        <v>Weak</v>
      </c>
      <c r="E3">
        <f t="shared" ref="E3:E66" si="1">ABS(C3+77.8)</f>
        <v>0.70000000000000284</v>
      </c>
    </row>
    <row r="4" spans="1:8" x14ac:dyDescent="0.15">
      <c r="A4">
        <v>3</v>
      </c>
      <c r="B4" t="s">
        <v>5</v>
      </c>
      <c r="C4" s="1">
        <v>-99.6</v>
      </c>
      <c r="D4" t="str">
        <f t="shared" si="0"/>
        <v>Strong</v>
      </c>
      <c r="E4">
        <f t="shared" si="1"/>
        <v>21.799999999999997</v>
      </c>
    </row>
    <row r="5" spans="1:8" x14ac:dyDescent="0.15">
      <c r="A5">
        <v>4</v>
      </c>
      <c r="B5" t="s">
        <v>6</v>
      </c>
      <c r="C5" s="1">
        <v>-48.5</v>
      </c>
      <c r="D5" t="str">
        <f t="shared" si="0"/>
        <v>Weak</v>
      </c>
      <c r="E5">
        <f t="shared" si="1"/>
        <v>29.299999999999997</v>
      </c>
    </row>
    <row r="6" spans="1:8" x14ac:dyDescent="0.15">
      <c r="A6">
        <v>5</v>
      </c>
      <c r="B6" t="s">
        <v>7</v>
      </c>
      <c r="C6" s="1">
        <v>-50.1</v>
      </c>
      <c r="D6" t="str">
        <f t="shared" si="0"/>
        <v>Weak</v>
      </c>
      <c r="E6">
        <f t="shared" si="1"/>
        <v>27.699999999999996</v>
      </c>
    </row>
    <row r="7" spans="1:8" x14ac:dyDescent="0.15">
      <c r="A7">
        <v>6</v>
      </c>
      <c r="B7" t="s">
        <v>8</v>
      </c>
      <c r="C7" s="1">
        <v>-72</v>
      </c>
      <c r="D7" t="str">
        <f t="shared" si="0"/>
        <v>Weak</v>
      </c>
      <c r="E7">
        <f t="shared" si="1"/>
        <v>5.7999999999999972</v>
      </c>
    </row>
    <row r="8" spans="1:8" x14ac:dyDescent="0.15">
      <c r="A8">
        <v>7</v>
      </c>
      <c r="B8" t="s">
        <v>9</v>
      </c>
      <c r="C8" s="1">
        <v>-55.2</v>
      </c>
      <c r="D8" t="str">
        <f t="shared" si="0"/>
        <v>Weak</v>
      </c>
      <c r="E8">
        <f t="shared" si="1"/>
        <v>22.599999999999994</v>
      </c>
    </row>
    <row r="9" spans="1:8" x14ac:dyDescent="0.15">
      <c r="A9">
        <v>8</v>
      </c>
      <c r="B9" t="s">
        <v>10</v>
      </c>
      <c r="C9" s="1">
        <v>-74</v>
      </c>
      <c r="D9" t="str">
        <f t="shared" si="0"/>
        <v>Weak</v>
      </c>
      <c r="E9">
        <f t="shared" si="1"/>
        <v>3.7999999999999972</v>
      </c>
    </row>
    <row r="10" spans="1:8" x14ac:dyDescent="0.15">
      <c r="A10">
        <v>9</v>
      </c>
      <c r="B10" t="s">
        <v>11</v>
      </c>
      <c r="C10" s="1">
        <v>-81.400000000000006</v>
      </c>
      <c r="D10" t="str">
        <f t="shared" si="0"/>
        <v>Strong</v>
      </c>
      <c r="E10">
        <f t="shared" si="1"/>
        <v>3.6000000000000085</v>
      </c>
    </row>
    <row r="11" spans="1:8" x14ac:dyDescent="0.15">
      <c r="A11">
        <v>10</v>
      </c>
      <c r="B11" t="s">
        <v>12</v>
      </c>
      <c r="C11" s="1">
        <v>-65.900000000000006</v>
      </c>
      <c r="D11" t="str">
        <f t="shared" si="0"/>
        <v>Weak</v>
      </c>
      <c r="E11">
        <f t="shared" si="1"/>
        <v>11.899999999999991</v>
      </c>
    </row>
    <row r="12" spans="1:8" x14ac:dyDescent="0.15">
      <c r="A12">
        <v>11</v>
      </c>
      <c r="B12" t="s">
        <v>13</v>
      </c>
      <c r="C12" s="1">
        <v>-52.7</v>
      </c>
      <c r="D12" t="str">
        <f t="shared" si="0"/>
        <v>Weak</v>
      </c>
      <c r="E12">
        <f t="shared" si="1"/>
        <v>25.099999999999994</v>
      </c>
    </row>
    <row r="13" spans="1:8" x14ac:dyDescent="0.15">
      <c r="A13">
        <v>12</v>
      </c>
      <c r="B13" t="s">
        <v>14</v>
      </c>
      <c r="C13" s="1">
        <v>-59.1</v>
      </c>
      <c r="D13" t="str">
        <f t="shared" si="0"/>
        <v>Weak</v>
      </c>
      <c r="E13">
        <f t="shared" si="1"/>
        <v>18.699999999999996</v>
      </c>
    </row>
    <row r="14" spans="1:8" x14ac:dyDescent="0.15">
      <c r="A14">
        <v>13</v>
      </c>
      <c r="B14" t="s">
        <v>15</v>
      </c>
      <c r="C14" s="1">
        <v>-61.3</v>
      </c>
      <c r="D14" t="str">
        <f t="shared" si="0"/>
        <v>Weak</v>
      </c>
      <c r="E14">
        <f t="shared" si="1"/>
        <v>16.5</v>
      </c>
    </row>
    <row r="15" spans="1:8" x14ac:dyDescent="0.15">
      <c r="A15">
        <v>14</v>
      </c>
      <c r="B15" t="s">
        <v>16</v>
      </c>
      <c r="C15" s="1">
        <v>-93.6</v>
      </c>
      <c r="D15" t="str">
        <f t="shared" si="0"/>
        <v>Strong</v>
      </c>
      <c r="E15">
        <f t="shared" si="1"/>
        <v>15.799999999999997</v>
      </c>
    </row>
    <row r="16" spans="1:8" x14ac:dyDescent="0.15">
      <c r="A16">
        <v>15</v>
      </c>
      <c r="B16" t="s">
        <v>17</v>
      </c>
      <c r="C16" s="1">
        <v>-81.7</v>
      </c>
      <c r="D16" t="str">
        <f t="shared" si="0"/>
        <v>Strong</v>
      </c>
      <c r="E16">
        <f t="shared" si="1"/>
        <v>3.9000000000000057</v>
      </c>
    </row>
    <row r="17" spans="1:5" x14ac:dyDescent="0.15">
      <c r="A17">
        <v>16</v>
      </c>
      <c r="B17" t="s">
        <v>18</v>
      </c>
      <c r="C17" s="1">
        <v>-62.7</v>
      </c>
      <c r="D17" t="str">
        <f t="shared" si="0"/>
        <v>Weak</v>
      </c>
      <c r="E17">
        <f t="shared" si="1"/>
        <v>15.099999999999994</v>
      </c>
    </row>
    <row r="18" spans="1:5" x14ac:dyDescent="0.15">
      <c r="A18">
        <v>17</v>
      </c>
      <c r="B18" t="s">
        <v>19</v>
      </c>
      <c r="C18" s="1">
        <v>-85.6</v>
      </c>
      <c r="D18" t="str">
        <f t="shared" si="0"/>
        <v>Strong</v>
      </c>
      <c r="E18">
        <f t="shared" si="1"/>
        <v>7.7999999999999972</v>
      </c>
    </row>
    <row r="19" spans="1:5" x14ac:dyDescent="0.15">
      <c r="A19">
        <v>18</v>
      </c>
      <c r="B19" t="s">
        <v>20</v>
      </c>
      <c r="C19" s="1">
        <v>-81.7</v>
      </c>
      <c r="D19" t="str">
        <f t="shared" si="0"/>
        <v>Strong</v>
      </c>
      <c r="E19">
        <f t="shared" si="1"/>
        <v>3.9000000000000057</v>
      </c>
    </row>
    <row r="20" spans="1:5" x14ac:dyDescent="0.15">
      <c r="A20">
        <v>19</v>
      </c>
      <c r="B20" t="s">
        <v>21</v>
      </c>
      <c r="C20" s="1">
        <v>-63.3</v>
      </c>
      <c r="D20" t="str">
        <f t="shared" si="0"/>
        <v>Weak</v>
      </c>
      <c r="E20">
        <f t="shared" si="1"/>
        <v>14.5</v>
      </c>
    </row>
    <row r="21" spans="1:5" x14ac:dyDescent="0.15">
      <c r="A21">
        <v>20</v>
      </c>
      <c r="B21" t="s">
        <v>22</v>
      </c>
      <c r="C21" s="1">
        <v>-77.8</v>
      </c>
      <c r="D21" t="str">
        <f t="shared" si="0"/>
        <v>Strong</v>
      </c>
      <c r="E21">
        <f t="shared" si="1"/>
        <v>0</v>
      </c>
    </row>
    <row r="22" spans="1:5" x14ac:dyDescent="0.15">
      <c r="A22">
        <v>21</v>
      </c>
      <c r="B22" t="s">
        <v>23</v>
      </c>
      <c r="C22" s="1">
        <v>-87.1</v>
      </c>
      <c r="D22" t="str">
        <f t="shared" si="0"/>
        <v>Strong</v>
      </c>
      <c r="E22">
        <f t="shared" si="1"/>
        <v>9.2999999999999972</v>
      </c>
    </row>
    <row r="23" spans="1:5" x14ac:dyDescent="0.15">
      <c r="A23">
        <v>22</v>
      </c>
      <c r="B23" s="4" t="s">
        <v>24</v>
      </c>
      <c r="C23" s="3">
        <v>-103</v>
      </c>
      <c r="D23" t="str">
        <f t="shared" si="0"/>
        <v>Strong</v>
      </c>
      <c r="E23">
        <f t="shared" si="1"/>
        <v>25.200000000000003</v>
      </c>
    </row>
    <row r="24" spans="1:5" x14ac:dyDescent="0.15">
      <c r="A24">
        <v>23</v>
      </c>
      <c r="B24" s="4" t="s">
        <v>25</v>
      </c>
      <c r="C24" s="3">
        <v>-97.5</v>
      </c>
      <c r="D24" t="str">
        <f t="shared" si="0"/>
        <v>Strong</v>
      </c>
      <c r="E24">
        <f t="shared" si="1"/>
        <v>19.700000000000003</v>
      </c>
    </row>
    <row r="25" spans="1:5" x14ac:dyDescent="0.15">
      <c r="A25">
        <v>24</v>
      </c>
      <c r="B25" s="4" t="s">
        <v>26</v>
      </c>
      <c r="C25" s="3">
        <v>-75.8</v>
      </c>
      <c r="D25" t="str">
        <f t="shared" si="0"/>
        <v>Weak</v>
      </c>
      <c r="E25">
        <f t="shared" si="1"/>
        <v>2</v>
      </c>
    </row>
    <row r="26" spans="1:5" x14ac:dyDescent="0.15">
      <c r="A26">
        <v>25</v>
      </c>
      <c r="B26" s="4" t="s">
        <v>27</v>
      </c>
      <c r="C26" s="3">
        <v>-82.3</v>
      </c>
      <c r="D26" t="str">
        <f t="shared" si="0"/>
        <v>Strong</v>
      </c>
      <c r="E26">
        <f t="shared" si="1"/>
        <v>4.5</v>
      </c>
    </row>
    <row r="27" spans="1:5" x14ac:dyDescent="0.15">
      <c r="A27">
        <v>26</v>
      </c>
      <c r="B27" s="4" t="s">
        <v>28</v>
      </c>
      <c r="C27" s="3">
        <v>-67</v>
      </c>
      <c r="D27" t="str">
        <f t="shared" si="0"/>
        <v>Weak</v>
      </c>
      <c r="E27">
        <f t="shared" si="1"/>
        <v>10.799999999999997</v>
      </c>
    </row>
    <row r="28" spans="1:5" x14ac:dyDescent="0.15">
      <c r="A28">
        <v>27</v>
      </c>
      <c r="B28" s="4" t="s">
        <v>29</v>
      </c>
      <c r="C28" s="3">
        <v>-73.8</v>
      </c>
      <c r="D28" t="str">
        <f t="shared" si="0"/>
        <v>Weak</v>
      </c>
      <c r="E28">
        <f t="shared" si="1"/>
        <v>4</v>
      </c>
    </row>
    <row r="29" spans="1:5" x14ac:dyDescent="0.15">
      <c r="A29">
        <v>28</v>
      </c>
      <c r="B29" s="4" t="s">
        <v>30</v>
      </c>
      <c r="C29" s="3">
        <v>-58.3</v>
      </c>
      <c r="D29" t="str">
        <f t="shared" si="0"/>
        <v>Weak</v>
      </c>
      <c r="E29">
        <f t="shared" si="1"/>
        <v>19.5</v>
      </c>
    </row>
    <row r="30" spans="1:5" x14ac:dyDescent="0.15">
      <c r="A30">
        <v>29</v>
      </c>
      <c r="B30" s="4" t="s">
        <v>31</v>
      </c>
      <c r="C30" s="3">
        <v>-70.599999999999994</v>
      </c>
      <c r="D30" t="str">
        <f t="shared" si="0"/>
        <v>Weak</v>
      </c>
      <c r="E30">
        <f t="shared" si="1"/>
        <v>7.2000000000000028</v>
      </c>
    </row>
    <row r="31" spans="1:5" x14ac:dyDescent="0.15">
      <c r="A31">
        <v>30</v>
      </c>
      <c r="B31" s="4" t="s">
        <v>32</v>
      </c>
      <c r="C31" s="3">
        <v>-72.7</v>
      </c>
      <c r="D31" t="str">
        <f t="shared" si="0"/>
        <v>Weak</v>
      </c>
      <c r="E31">
        <f t="shared" si="1"/>
        <v>5.0999999999999943</v>
      </c>
    </row>
    <row r="32" spans="1:5" x14ac:dyDescent="0.15">
      <c r="A32">
        <v>31</v>
      </c>
      <c r="B32" s="4" t="s">
        <v>33</v>
      </c>
      <c r="C32" s="3">
        <v>-57.7</v>
      </c>
      <c r="D32" t="str">
        <f t="shared" si="0"/>
        <v>Weak</v>
      </c>
      <c r="E32">
        <f t="shared" si="1"/>
        <v>20.099999999999994</v>
      </c>
    </row>
    <row r="33" spans="1:5" x14ac:dyDescent="0.15">
      <c r="A33">
        <v>32</v>
      </c>
      <c r="B33" s="4" t="s">
        <v>34</v>
      </c>
      <c r="C33" s="3">
        <v>-79.3</v>
      </c>
      <c r="D33" t="str">
        <f t="shared" si="0"/>
        <v>Strong</v>
      </c>
      <c r="E33">
        <f t="shared" si="1"/>
        <v>1.5</v>
      </c>
    </row>
    <row r="34" spans="1:5" x14ac:dyDescent="0.15">
      <c r="A34">
        <v>33</v>
      </c>
      <c r="B34" s="4" t="s">
        <v>35</v>
      </c>
      <c r="C34" s="3">
        <v>-97</v>
      </c>
      <c r="D34" t="str">
        <f t="shared" si="0"/>
        <v>Strong</v>
      </c>
      <c r="E34">
        <f t="shared" si="1"/>
        <v>19.200000000000003</v>
      </c>
    </row>
    <row r="35" spans="1:5" x14ac:dyDescent="0.15">
      <c r="A35">
        <v>34</v>
      </c>
      <c r="B35" s="4" t="s">
        <v>36</v>
      </c>
      <c r="C35" s="3">
        <v>-60</v>
      </c>
      <c r="D35" t="str">
        <f t="shared" si="0"/>
        <v>Weak</v>
      </c>
      <c r="E35">
        <f t="shared" si="1"/>
        <v>17.799999999999997</v>
      </c>
    </row>
    <row r="36" spans="1:5" x14ac:dyDescent="0.15">
      <c r="A36">
        <v>35</v>
      </c>
      <c r="B36" s="4" t="s">
        <v>37</v>
      </c>
      <c r="C36" s="3">
        <v>-69.7</v>
      </c>
      <c r="D36" t="str">
        <f t="shared" si="0"/>
        <v>Weak</v>
      </c>
      <c r="E36">
        <f t="shared" si="1"/>
        <v>8.0999999999999943</v>
      </c>
    </row>
    <row r="37" spans="1:5" x14ac:dyDescent="0.15">
      <c r="A37">
        <v>36</v>
      </c>
      <c r="B37" s="4" t="s">
        <v>38</v>
      </c>
      <c r="C37" s="3">
        <v>-60.3</v>
      </c>
      <c r="D37" t="str">
        <f t="shared" si="0"/>
        <v>Weak</v>
      </c>
      <c r="E37">
        <f t="shared" si="1"/>
        <v>17.5</v>
      </c>
    </row>
    <row r="38" spans="1:5" x14ac:dyDescent="0.15">
      <c r="A38">
        <v>37</v>
      </c>
      <c r="B38" s="4" t="s">
        <v>39</v>
      </c>
      <c r="C38" s="3">
        <v>-69</v>
      </c>
      <c r="D38" t="str">
        <f t="shared" si="0"/>
        <v>Weak</v>
      </c>
      <c r="E38">
        <f t="shared" si="1"/>
        <v>8.7999999999999972</v>
      </c>
    </row>
    <row r="39" spans="1:5" x14ac:dyDescent="0.15">
      <c r="A39">
        <v>38</v>
      </c>
      <c r="B39" s="4" t="s">
        <v>40</v>
      </c>
      <c r="C39" s="3">
        <v>-71</v>
      </c>
      <c r="D39" t="str">
        <f t="shared" si="0"/>
        <v>Weak</v>
      </c>
      <c r="E39">
        <f t="shared" si="1"/>
        <v>6.7999999999999972</v>
      </c>
    </row>
    <row r="40" spans="1:5" x14ac:dyDescent="0.15">
      <c r="A40">
        <v>39</v>
      </c>
      <c r="B40" s="4" t="s">
        <v>41</v>
      </c>
      <c r="C40" s="3">
        <v>-83.5</v>
      </c>
      <c r="D40" t="str">
        <f t="shared" si="0"/>
        <v>Strong</v>
      </c>
      <c r="E40">
        <f t="shared" si="1"/>
        <v>5.7000000000000028</v>
      </c>
    </row>
    <row r="41" spans="1:5" x14ac:dyDescent="0.15">
      <c r="A41">
        <v>40</v>
      </c>
      <c r="B41" s="4" t="s">
        <v>42</v>
      </c>
      <c r="C41" s="3">
        <v>-66.8</v>
      </c>
      <c r="D41" t="str">
        <f t="shared" si="0"/>
        <v>Weak</v>
      </c>
      <c r="E41">
        <f t="shared" si="1"/>
        <v>11</v>
      </c>
    </row>
    <row r="42" spans="1:5" x14ac:dyDescent="0.15">
      <c r="A42">
        <v>41</v>
      </c>
      <c r="B42" s="4" t="s">
        <v>43</v>
      </c>
      <c r="C42" s="3">
        <v>-56.5</v>
      </c>
      <c r="D42" t="str">
        <f t="shared" si="0"/>
        <v>Weak</v>
      </c>
      <c r="E42">
        <f t="shared" si="1"/>
        <v>21.299999999999997</v>
      </c>
    </row>
    <row r="43" spans="1:5" x14ac:dyDescent="0.15">
      <c r="A43">
        <v>42</v>
      </c>
      <c r="B43" s="4" t="s">
        <v>44</v>
      </c>
      <c r="C43" s="3">
        <v>-101.2</v>
      </c>
      <c r="D43" t="str">
        <f t="shared" si="0"/>
        <v>Strong</v>
      </c>
      <c r="E43">
        <f t="shared" si="1"/>
        <v>23.400000000000006</v>
      </c>
    </row>
    <row r="44" spans="1:5" x14ac:dyDescent="0.15">
      <c r="A44">
        <v>43</v>
      </c>
      <c r="B44" s="4" t="s">
        <v>45</v>
      </c>
      <c r="C44" s="3">
        <v>-79.900000000000006</v>
      </c>
      <c r="D44" t="str">
        <f t="shared" si="0"/>
        <v>Strong</v>
      </c>
      <c r="E44">
        <f t="shared" si="1"/>
        <v>2.1000000000000085</v>
      </c>
    </row>
    <row r="45" spans="1:5" x14ac:dyDescent="0.15">
      <c r="A45">
        <v>44</v>
      </c>
      <c r="B45" s="4" t="s">
        <v>46</v>
      </c>
      <c r="C45" s="3">
        <v>-84.8</v>
      </c>
      <c r="D45" t="str">
        <f t="shared" si="0"/>
        <v>Strong</v>
      </c>
      <c r="E45">
        <f t="shared" si="1"/>
        <v>7</v>
      </c>
    </row>
    <row r="46" spans="1:5" x14ac:dyDescent="0.15">
      <c r="A46">
        <v>45</v>
      </c>
      <c r="B46" s="4" t="s">
        <v>47</v>
      </c>
      <c r="C46" s="3">
        <v>-95.9</v>
      </c>
      <c r="D46" t="str">
        <f t="shared" si="0"/>
        <v>Strong</v>
      </c>
      <c r="E46">
        <f t="shared" si="1"/>
        <v>18.100000000000009</v>
      </c>
    </row>
    <row r="47" spans="1:5" x14ac:dyDescent="0.15">
      <c r="A47">
        <v>46</v>
      </c>
      <c r="B47" s="4" t="s">
        <v>48</v>
      </c>
      <c r="C47" s="3">
        <v>-79.900000000000006</v>
      </c>
      <c r="D47" t="str">
        <f t="shared" si="0"/>
        <v>Strong</v>
      </c>
      <c r="E47">
        <f t="shared" si="1"/>
        <v>2.1000000000000085</v>
      </c>
    </row>
    <row r="48" spans="1:5" x14ac:dyDescent="0.15">
      <c r="A48">
        <v>47</v>
      </c>
      <c r="B48" s="4" t="s">
        <v>49</v>
      </c>
      <c r="C48" s="3">
        <v>-77.099999999999994</v>
      </c>
      <c r="D48" t="str">
        <f t="shared" si="0"/>
        <v>Weak</v>
      </c>
      <c r="E48">
        <f t="shared" si="1"/>
        <v>0.70000000000000284</v>
      </c>
    </row>
    <row r="49" spans="1:5" x14ac:dyDescent="0.15">
      <c r="A49">
        <v>48</v>
      </c>
      <c r="B49" s="4" t="s">
        <v>50</v>
      </c>
      <c r="C49" s="3">
        <v>-83.2</v>
      </c>
      <c r="D49" t="str">
        <f t="shared" si="0"/>
        <v>Strong</v>
      </c>
      <c r="E49">
        <f t="shared" si="1"/>
        <v>5.4000000000000057</v>
      </c>
    </row>
    <row r="50" spans="1:5" x14ac:dyDescent="0.15">
      <c r="A50">
        <v>49</v>
      </c>
      <c r="B50" s="4" t="s">
        <v>51</v>
      </c>
      <c r="C50" s="3">
        <v>-73.3</v>
      </c>
      <c r="D50" t="str">
        <f t="shared" si="0"/>
        <v>Weak</v>
      </c>
      <c r="E50">
        <f t="shared" si="1"/>
        <v>4.5</v>
      </c>
    </row>
    <row r="51" spans="1:5" x14ac:dyDescent="0.15">
      <c r="A51">
        <v>50</v>
      </c>
      <c r="B51" s="4" t="s">
        <v>52</v>
      </c>
      <c r="C51" s="3">
        <v>-72.3</v>
      </c>
      <c r="D51" t="str">
        <f t="shared" si="0"/>
        <v>Weak</v>
      </c>
      <c r="E51">
        <f t="shared" si="1"/>
        <v>5.5</v>
      </c>
    </row>
    <row r="52" spans="1:5" x14ac:dyDescent="0.15">
      <c r="A52">
        <v>51</v>
      </c>
      <c r="B52" s="4" t="s">
        <v>53</v>
      </c>
      <c r="C52" s="3">
        <v>-81.7</v>
      </c>
      <c r="D52" t="str">
        <f t="shared" si="0"/>
        <v>Strong</v>
      </c>
      <c r="E52">
        <f t="shared" si="1"/>
        <v>3.9000000000000057</v>
      </c>
    </row>
    <row r="53" spans="1:5" x14ac:dyDescent="0.15">
      <c r="A53">
        <v>52</v>
      </c>
      <c r="B53" s="4" t="s">
        <v>54</v>
      </c>
      <c r="C53" s="3">
        <v>-94.4</v>
      </c>
      <c r="D53" t="str">
        <f t="shared" si="0"/>
        <v>Strong</v>
      </c>
      <c r="E53">
        <f t="shared" si="1"/>
        <v>16.600000000000009</v>
      </c>
    </row>
    <row r="54" spans="1:5" x14ac:dyDescent="0.15">
      <c r="A54">
        <v>53</v>
      </c>
      <c r="B54" s="4" t="s">
        <v>55</v>
      </c>
      <c r="C54" s="3">
        <v>-104.5</v>
      </c>
      <c r="D54" t="str">
        <f t="shared" si="0"/>
        <v>Strong</v>
      </c>
      <c r="E54">
        <f t="shared" si="1"/>
        <v>26.700000000000003</v>
      </c>
    </row>
    <row r="55" spans="1:5" x14ac:dyDescent="0.15">
      <c r="A55">
        <v>54</v>
      </c>
      <c r="B55" s="4" t="s">
        <v>56</v>
      </c>
      <c r="C55" s="3">
        <v>-72.599999999999994</v>
      </c>
      <c r="D55" t="str">
        <f t="shared" si="0"/>
        <v>Weak</v>
      </c>
      <c r="E55">
        <f t="shared" si="1"/>
        <v>5.2000000000000028</v>
      </c>
    </row>
    <row r="56" spans="1:5" x14ac:dyDescent="0.15">
      <c r="A56">
        <v>55</v>
      </c>
      <c r="B56" s="4" t="s">
        <v>57</v>
      </c>
      <c r="C56" s="3">
        <v>-75.599999999999994</v>
      </c>
      <c r="D56" t="str">
        <f t="shared" si="0"/>
        <v>Weak</v>
      </c>
      <c r="E56">
        <f t="shared" si="1"/>
        <v>2.2000000000000028</v>
      </c>
    </row>
    <row r="57" spans="1:5" x14ac:dyDescent="0.15">
      <c r="A57">
        <v>56</v>
      </c>
      <c r="B57" s="4" t="s">
        <v>58</v>
      </c>
      <c r="C57" s="3">
        <v>-73.3</v>
      </c>
      <c r="D57" t="str">
        <f t="shared" si="0"/>
        <v>Weak</v>
      </c>
      <c r="E57">
        <f t="shared" si="1"/>
        <v>4.5</v>
      </c>
    </row>
    <row r="58" spans="1:5" x14ac:dyDescent="0.15">
      <c r="A58">
        <v>57</v>
      </c>
      <c r="B58" s="4" t="s">
        <v>59</v>
      </c>
      <c r="C58" s="3">
        <v>-75.400000000000006</v>
      </c>
      <c r="D58" t="str">
        <f t="shared" si="0"/>
        <v>Weak</v>
      </c>
      <c r="E58">
        <f t="shared" si="1"/>
        <v>2.3999999999999915</v>
      </c>
    </row>
    <row r="59" spans="1:5" x14ac:dyDescent="0.15">
      <c r="A59">
        <v>58</v>
      </c>
      <c r="B59" s="4" t="s">
        <v>60</v>
      </c>
      <c r="C59" s="3">
        <v>-85.6</v>
      </c>
      <c r="D59" t="str">
        <f t="shared" si="0"/>
        <v>Strong</v>
      </c>
      <c r="E59">
        <f t="shared" si="1"/>
        <v>7.7999999999999972</v>
      </c>
    </row>
    <row r="60" spans="1:5" x14ac:dyDescent="0.15">
      <c r="A60">
        <v>59</v>
      </c>
      <c r="B60" s="4" t="s">
        <v>61</v>
      </c>
      <c r="C60" s="3">
        <v>-83.4</v>
      </c>
      <c r="D60" t="str">
        <f t="shared" si="0"/>
        <v>Strong</v>
      </c>
      <c r="E60">
        <f t="shared" si="1"/>
        <v>5.6000000000000085</v>
      </c>
    </row>
    <row r="61" spans="1:5" x14ac:dyDescent="0.15">
      <c r="A61">
        <v>60</v>
      </c>
      <c r="B61" s="4" t="s">
        <v>62</v>
      </c>
      <c r="C61" s="3">
        <v>-88.4</v>
      </c>
      <c r="D61" t="str">
        <f t="shared" si="0"/>
        <v>Strong</v>
      </c>
      <c r="E61">
        <f t="shared" si="1"/>
        <v>10.600000000000009</v>
      </c>
    </row>
    <row r="62" spans="1:5" x14ac:dyDescent="0.15">
      <c r="A62">
        <v>61</v>
      </c>
      <c r="B62" s="4" t="s">
        <v>63</v>
      </c>
      <c r="C62" s="3">
        <v>-89.2</v>
      </c>
      <c r="D62" t="str">
        <f t="shared" si="0"/>
        <v>Strong</v>
      </c>
      <c r="E62">
        <f t="shared" si="1"/>
        <v>11.400000000000006</v>
      </c>
    </row>
    <row r="63" spans="1:5" x14ac:dyDescent="0.15">
      <c r="A63">
        <v>62</v>
      </c>
      <c r="B63" s="4" t="s">
        <v>64</v>
      </c>
      <c r="C63" s="3">
        <v>-94.5</v>
      </c>
      <c r="D63" t="str">
        <f t="shared" si="0"/>
        <v>Strong</v>
      </c>
      <c r="E63">
        <f t="shared" si="1"/>
        <v>16.700000000000003</v>
      </c>
    </row>
    <row r="64" spans="1:5" x14ac:dyDescent="0.15">
      <c r="A64">
        <v>63</v>
      </c>
      <c r="B64" s="4" t="s">
        <v>65</v>
      </c>
      <c r="C64" s="3">
        <v>-52</v>
      </c>
      <c r="D64" t="str">
        <f t="shared" si="0"/>
        <v>Weak</v>
      </c>
      <c r="E64">
        <f t="shared" si="1"/>
        <v>25.799999999999997</v>
      </c>
    </row>
    <row r="65" spans="1:5" x14ac:dyDescent="0.15">
      <c r="A65">
        <v>64</v>
      </c>
      <c r="B65" s="4" t="s">
        <v>66</v>
      </c>
      <c r="C65" s="3">
        <v>-58</v>
      </c>
      <c r="D65" t="str">
        <f t="shared" si="0"/>
        <v>Weak</v>
      </c>
      <c r="E65">
        <f t="shared" si="1"/>
        <v>19.799999999999997</v>
      </c>
    </row>
    <row r="66" spans="1:5" x14ac:dyDescent="0.15">
      <c r="A66">
        <v>65</v>
      </c>
      <c r="B66" s="4" t="s">
        <v>67</v>
      </c>
      <c r="C66" s="3">
        <v>-72</v>
      </c>
      <c r="D66" t="str">
        <f t="shared" si="0"/>
        <v>Weak</v>
      </c>
      <c r="E66">
        <f t="shared" si="1"/>
        <v>5.7999999999999972</v>
      </c>
    </row>
    <row r="67" spans="1:5" x14ac:dyDescent="0.15">
      <c r="A67">
        <v>66</v>
      </c>
      <c r="B67" s="4" t="s">
        <v>68</v>
      </c>
      <c r="C67" s="3">
        <v>-80.7</v>
      </c>
      <c r="D67" t="str">
        <f t="shared" ref="D67:D81" si="2">IF(C67&lt;=-77.8,"Strong","Weak")</f>
        <v>Strong</v>
      </c>
      <c r="E67">
        <f t="shared" ref="E67:E81" si="3">ABS(C67+77.8)</f>
        <v>2.9000000000000057</v>
      </c>
    </row>
    <row r="68" spans="1:5" x14ac:dyDescent="0.15">
      <c r="A68">
        <v>67</v>
      </c>
      <c r="B68" s="4" t="s">
        <v>69</v>
      </c>
      <c r="C68" s="3">
        <v>-68.8</v>
      </c>
      <c r="D68" t="str">
        <f t="shared" si="2"/>
        <v>Weak</v>
      </c>
      <c r="E68">
        <f t="shared" si="3"/>
        <v>9</v>
      </c>
    </row>
    <row r="69" spans="1:5" x14ac:dyDescent="0.15">
      <c r="A69">
        <v>68</v>
      </c>
      <c r="B69" s="4" t="s">
        <v>70</v>
      </c>
      <c r="C69" s="3">
        <v>-86.9</v>
      </c>
      <c r="D69" t="str">
        <f t="shared" si="2"/>
        <v>Strong</v>
      </c>
      <c r="E69">
        <f t="shared" si="3"/>
        <v>9.1000000000000085</v>
      </c>
    </row>
    <row r="70" spans="1:5" x14ac:dyDescent="0.15">
      <c r="A70">
        <v>69</v>
      </c>
      <c r="B70" s="4" t="s">
        <v>71</v>
      </c>
      <c r="C70" s="3">
        <v>-108.5</v>
      </c>
      <c r="D70" t="str">
        <f t="shared" si="2"/>
        <v>Strong</v>
      </c>
      <c r="E70">
        <f t="shared" si="3"/>
        <v>30.700000000000003</v>
      </c>
    </row>
    <row r="71" spans="1:5" x14ac:dyDescent="0.15">
      <c r="A71">
        <v>70</v>
      </c>
      <c r="B71" s="4" t="s">
        <v>72</v>
      </c>
      <c r="C71" s="3">
        <v>-77.7</v>
      </c>
      <c r="D71" t="str">
        <f t="shared" si="2"/>
        <v>Weak</v>
      </c>
      <c r="E71">
        <f t="shared" si="3"/>
        <v>9.9999999999994316E-2</v>
      </c>
    </row>
    <row r="72" spans="1:5" x14ac:dyDescent="0.15">
      <c r="A72">
        <v>71</v>
      </c>
      <c r="B72" s="4" t="s">
        <v>73</v>
      </c>
      <c r="C72" s="3">
        <v>-58.2</v>
      </c>
      <c r="D72" t="str">
        <f t="shared" si="2"/>
        <v>Weak</v>
      </c>
      <c r="E72">
        <f t="shared" si="3"/>
        <v>19.599999999999994</v>
      </c>
    </row>
    <row r="73" spans="1:5" x14ac:dyDescent="0.15">
      <c r="A73">
        <v>72</v>
      </c>
      <c r="B73" s="4" t="s">
        <v>74</v>
      </c>
      <c r="C73" s="3">
        <v>-61.6</v>
      </c>
      <c r="D73" t="str">
        <f t="shared" si="2"/>
        <v>Weak</v>
      </c>
      <c r="E73">
        <f t="shared" si="3"/>
        <v>16.199999999999996</v>
      </c>
    </row>
    <row r="74" spans="1:5" x14ac:dyDescent="0.15">
      <c r="A74">
        <v>73</v>
      </c>
      <c r="B74" s="4" t="s">
        <v>75</v>
      </c>
      <c r="C74" s="3">
        <v>-68.8</v>
      </c>
      <c r="D74" t="str">
        <f t="shared" si="2"/>
        <v>Weak</v>
      </c>
      <c r="E74">
        <f t="shared" si="3"/>
        <v>9</v>
      </c>
    </row>
    <row r="75" spans="1:5" x14ac:dyDescent="0.15">
      <c r="A75">
        <v>74</v>
      </c>
      <c r="B75" s="4" t="s">
        <v>76</v>
      </c>
      <c r="C75" s="3">
        <v>-76</v>
      </c>
      <c r="D75" t="str">
        <f t="shared" si="2"/>
        <v>Weak</v>
      </c>
      <c r="E75">
        <f t="shared" si="3"/>
        <v>1.7999999999999972</v>
      </c>
    </row>
    <row r="76" spans="1:5" x14ac:dyDescent="0.15">
      <c r="A76">
        <v>75</v>
      </c>
      <c r="B76" s="4" t="s">
        <v>77</v>
      </c>
      <c r="C76" s="3">
        <v>-94.3</v>
      </c>
      <c r="D76" t="str">
        <f t="shared" si="2"/>
        <v>Strong</v>
      </c>
      <c r="E76">
        <f t="shared" si="3"/>
        <v>16.5</v>
      </c>
    </row>
    <row r="77" spans="1:5" x14ac:dyDescent="0.15">
      <c r="A77">
        <v>76</v>
      </c>
      <c r="B77" s="4" t="s">
        <v>78</v>
      </c>
      <c r="C77" s="3">
        <v>-83.1</v>
      </c>
      <c r="D77" t="str">
        <f t="shared" si="2"/>
        <v>Strong</v>
      </c>
      <c r="E77">
        <f t="shared" si="3"/>
        <v>5.2999999999999972</v>
      </c>
    </row>
    <row r="78" spans="1:5" x14ac:dyDescent="0.15">
      <c r="A78">
        <v>77</v>
      </c>
      <c r="B78" s="4" t="s">
        <v>79</v>
      </c>
      <c r="C78" s="3">
        <v>-96.8</v>
      </c>
      <c r="D78" t="str">
        <f t="shared" si="2"/>
        <v>Strong</v>
      </c>
      <c r="E78">
        <f t="shared" si="3"/>
        <v>19</v>
      </c>
    </row>
    <row r="79" spans="1:5" x14ac:dyDescent="0.15">
      <c r="A79">
        <v>78</v>
      </c>
      <c r="B79" s="4" t="s">
        <v>80</v>
      </c>
      <c r="C79" s="3">
        <v>-83.7</v>
      </c>
      <c r="D79" t="str">
        <f t="shared" si="2"/>
        <v>Strong</v>
      </c>
      <c r="E79">
        <f t="shared" si="3"/>
        <v>5.9000000000000057</v>
      </c>
    </row>
    <row r="80" spans="1:5" x14ac:dyDescent="0.15">
      <c r="A80">
        <v>79</v>
      </c>
      <c r="B80" s="4" t="s">
        <v>81</v>
      </c>
      <c r="C80" s="3">
        <v>-89.4</v>
      </c>
      <c r="D80" t="str">
        <f t="shared" si="2"/>
        <v>Strong</v>
      </c>
      <c r="E80">
        <f t="shared" si="3"/>
        <v>11.600000000000009</v>
      </c>
    </row>
    <row r="81" spans="1:6" x14ac:dyDescent="0.15">
      <c r="A81">
        <v>80</v>
      </c>
      <c r="B81" s="4" t="s">
        <v>82</v>
      </c>
      <c r="C81" s="3">
        <v>-98.2</v>
      </c>
      <c r="D81" t="str">
        <f t="shared" si="2"/>
        <v>Strong</v>
      </c>
      <c r="E81">
        <f t="shared" si="3"/>
        <v>20.400000000000006</v>
      </c>
    </row>
    <row r="83" spans="1:6" x14ac:dyDescent="0.15">
      <c r="D83" s="2"/>
      <c r="E83">
        <f>MIN(E2:E81)</f>
        <v>0</v>
      </c>
      <c r="F83" s="2" t="s">
        <v>83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Khatooni, zahed</dc:creator>
  <cp:lastModifiedBy>Gordon Broderick</cp:lastModifiedBy>
  <dcterms:created xsi:type="dcterms:W3CDTF">2024-10-27T21:23:01Z</dcterms:created>
  <dcterms:modified xsi:type="dcterms:W3CDTF">2025-09-19T23:08:32Z</dcterms:modified>
</cp:coreProperties>
</file>